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ssumptions" sheetId="1" r:id="rId1"/>
    <sheet name="Costs" sheetId="2" r:id="rId2"/>
    <sheet name="Pricing" sheetId="3" r:id="rId3"/>
    <sheet name="Monthly" sheetId="4" r:id="rId4"/>
    <sheet name="Notes" sheetId="5" r:id="rId5"/>
  </sheets>
  <calcPr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₹&quot;#,##0"/>
    <numFmt numFmtId="166" formatCode="0.0%"/>
  </numFmts>
  <fonts count="5">
    <font>
      <sz val="11"/>
      <name val="Calibri"/>
    </font>
    <font>
      <b/>
      <sz val="11"/>
      <color rgb="FFFFFFFF"/>
      <name val="Calibri"/>
    </font>
    <font>
      <b/>
      <sz val="15"/>
      <name val="Calibri"/>
    </font>
    <font>
      <b/>
      <sz val="11"/>
      <name val="Calibri"/>
    </font>
    <font>
      <b/>
      <sz val="11"/>
      <color rgb="FF0B6E2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A1F3D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wrapText="1" vertical="center"/>
    </xf>
    <xf numFmtId="0" fontId="2" fillId="0" borderId="0" xfId="0" applyFont="1"/>
    <xf numFmtId="4" fontId="0" fillId="3" borderId="1" xfId="0" applyNumberFormat="1" applyFill="1" applyBorder="1"/>
    <xf numFmtId="166" fontId="0" fillId="3" borderId="1" xfId="0" applyNumberFormat="1" applyFill="1" applyBorder="1"/>
    <xf numFmtId="165" fontId="0" fillId="3" borderId="1" xfId="0" applyNumberFormat="1" applyFill="1" applyBorder="1"/>
    <xf numFmtId="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0" xfId="0" applyAlignment="1">
      <alignment wrapText="1" vertical="top"/>
    </xf>
    <xf numFmtId="0" fontId="3" fillId="0" borderId="0" xfId="0" applyFont="1"/>
    <xf numFmtId="164" fontId="0" fillId="0" borderId="1" xfId="0" applyNumberFormat="1" applyBorder="1"/>
    <xf numFmtId="164" fontId="0" fillId="3" borderId="1" xfId="0" applyNumberFormat="1" applyFill="1" applyBorder="1"/>
    <xf numFmtId="165" fontId="4" fillId="0" borderId="1" xfId="0" applyNumberFormat="1" applyFont="1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/>
  </sheetViews>
  <sheetFormatPr defaultRowHeight="18"/>
  <cols>
    <col min="1" max="1" width="46" customWidth="1"/>
    <col min="2" max="2" width="16" customWidth="1"/>
    <col min="3" max="3" width="80" customWidth="1"/>
  </cols>
  <sheetData>
    <row r="1">
      <c r="A1" s="2" t="inlineStr">
        <is>
          <t xml:space="preserve">Eventra pricing sheet: assumptions</t>
        </is>
      </c>
    </row>
    <row r="2">
      <c r="A2" s="9" t="inlineStr">
        <is>
          <t xml:space="preserve">Yellow cells are inputs. Change them and every other sheet updates. Prices marked 'verify' are estimates: check the provider's pricing page.</t>
        </is>
      </c>
    </row>
    <row r="3">
      <c r="A3" s="1" t="inlineStr">
        <is>
          <t xml:space="preserve">Item</t>
        </is>
      </c>
      <c r="B3" s="1" t="inlineStr">
        <is>
          <t xml:space="preserve">Value</t>
        </is>
      </c>
      <c r="C3" s="1" t="inlineStr">
        <is>
          <t xml:space="preserve">Note</t>
        </is>
      </c>
    </row>
    <row r="4">
      <c r="A4" s="0" t="inlineStr">
        <is>
          <t xml:space="preserve">US dollar to rupee rate</t>
        </is>
      </c>
      <c r="B4" s="3">
        <v>88</v>
      </c>
      <c r="C4" s="9" t="inlineStr">
        <is>
          <t xml:space="preserve">Change to today's rate.</t>
        </is>
      </c>
    </row>
    <row r="5">
      <c r="A5" s="0" t="inlineStr">
        <is>
          <t xml:space="preserve">GST you charge customers</t>
        </is>
      </c>
      <c r="B5" s="4">
        <v>0.18</v>
      </c>
      <c r="C5" s="9" t="inlineStr">
        <is>
          <t xml:space="preserve">18% GST on services. It is collected for the government, not your income. Needs GST registration above the limit.</t>
        </is>
      </c>
    </row>
    <row r="6">
      <c r="A6" s="0" t="inlineStr">
        <is>
          <t xml:space="preserve">Payment gateway fee (incl. GST on the fee)</t>
        </is>
      </c>
      <c r="B6" s="4">
        <v>0.0236</v>
      </c>
      <c r="C6" s="9" t="inlineStr">
        <is>
          <t xml:space="preserve">About 2% Razorpay fee plus 18% GST on that fee. Verify.</t>
        </is>
      </c>
    </row>
    <row r="7">
      <c r="A7" s="0" t="inlineStr">
        <is>
          <t xml:space="preserve">Video data per viewer per hour (GB)</t>
        </is>
      </c>
      <c r="B7" s="3">
        <v>0.45</v>
      </c>
      <c r="C7" s="9" t="inlineStr">
        <is>
          <t xml:space="preserve">About 1 Mbps at 720p = 0.45 GB per hour. Data saver or audio-only is lower (see Costs sheet).</t>
        </is>
      </c>
    </row>
    <row r="8">
      <c r="A8" s="0" t="inlineStr">
        <is>
          <t xml:space="preserve">AWS data transfer out, per GB (USD)</t>
        </is>
      </c>
      <c r="B8" s="12">
        <v>0.1093</v>
      </c>
      <c r="C8" s="9" t="inlineStr">
        <is>
          <t xml:space="preserve">Approx. Mumbai region, after the free 100 GB a month. Verify on the AWS pricing page.</t>
        </is>
      </c>
    </row>
    <row r="9">
      <c r="A9" s="0" t="inlineStr">
        <is>
          <t xml:space="preserve">Safety margin added to costs</t>
        </is>
      </c>
      <c r="B9" s="4">
        <v>0.15</v>
      </c>
      <c r="C9" s="9" t="inlineStr">
        <is>
          <t xml:space="preserve">Covers retries, extra viewers, small price changes.</t>
        </is>
      </c>
    </row>
    <row r="10">
      <c r="A10" s="0" t="inlineStr">
        <is>
          <t xml:space="preserve">Cloudflare R2 storage, per GB per month (USD)</t>
        </is>
      </c>
      <c r="B10" s="12">
        <v>0.015</v>
      </c>
      <c r="C10" s="9" t="inlineStr">
        <is>
          <t xml:space="preserve">Photos, cards, videos, sponsor logos. Downloads by guests cost nothing on R2.</t>
        </is>
      </c>
    </row>
    <row r="11">
      <c r="A11" s="0" t="inlineStr">
        <is>
          <t xml:space="preserve">Months you keep an event's files</t>
        </is>
      </c>
      <c r="B11" s="3">
        <v>3</v>
      </c>
      <c r="C11" s="9" t="inlineStr">
        <is>
          <t xml:space="preserve">Used to cost the stored files.</t>
        </is>
      </c>
    </row>
    <row r="12">
      <c r="A12" s="0" t="inlineStr">
        <is>
          <t xml:space="preserve">Target profit margin</t>
        </is>
      </c>
      <c r="B12" s="4">
        <v>0.6</v>
      </c>
      <c r="C12" s="9" t="inlineStr">
        <is>
          <t xml:space="preserve">Used for the suggested minimum price.</t>
        </is>
      </c>
    </row>
    <row r="14">
      <c r="A14" s="10" t="inlineStr">
        <is>
          <t xml:space="preserve">Fixed monthly costs (paid whether or not you have events)</t>
        </is>
      </c>
    </row>
    <row r="15">
      <c r="A15" s="1" t="inlineStr">
        <is>
          <t xml:space="preserve">Item</t>
        </is>
      </c>
      <c r="B15" s="1" t="inlineStr">
        <is>
          <t xml:space="preserve">Value</t>
        </is>
      </c>
      <c r="C15" s="1" t="inlineStr">
        <is>
          <t xml:space="preserve">Note</t>
        </is>
      </c>
    </row>
    <row r="16">
      <c r="A16" s="0" t="inlineStr">
        <is>
          <t xml:space="preserve">AWS server running LiveKit, per month (USD)</t>
        </is>
      </c>
      <c r="B16" s="12">
        <v>62</v>
      </c>
      <c r="C16" s="9" t="inlineStr">
        <is>
          <t xml:space="preserve">Example: a 2 vCPU compute instance on demand in Mumbai. Verify. You can shut it down between events and pay per hour.</t>
        </is>
      </c>
    </row>
    <row r="17">
      <c r="A17" s="0" t="inlineStr">
        <is>
          <t xml:space="preserve">Vercel Pro, per month (USD)</t>
        </is>
      </c>
      <c r="B17" s="12">
        <v>20</v>
      </c>
      <c r="C17" s="9" t="inlineStr">
        <is>
          <t xml:space="preserve">The free Hobby plan is for personal use. A paid product should use Pro. Verify.</t>
        </is>
      </c>
    </row>
    <row r="18">
      <c r="A18" s="0" t="inlineStr">
        <is>
          <t xml:space="preserve">Neon database, per month (USD)</t>
        </is>
      </c>
      <c r="B18" s="12">
        <v>19</v>
      </c>
      <c r="C18" s="9" t="inlineStr">
        <is>
          <t xml:space="preserve">There is a free plan. A paid plan gives more room. Verify.</t>
        </is>
      </c>
    </row>
    <row r="19">
      <c r="A19" s="0" t="inlineStr">
        <is>
          <t xml:space="preserve">Domain, per year (INR)</t>
        </is>
      </c>
      <c r="B19" s="5">
        <v>800</v>
      </c>
      <c r="C19" s="9" t="inlineStr">
        <is>
          <t xml:space="preserve">A .in domain is roughly this. Verify.</t>
        </is>
      </c>
    </row>
    <row r="20">
      <c r="A20" s="0" t="inlineStr">
        <is>
          <t xml:space="preserve">Cloudflare other (DNS, R2 base), per month (USD)</t>
        </is>
      </c>
      <c r="B20" s="12">
        <v>0</v>
      </c>
      <c r="C20" s="9" t="inlineStr">
        <is>
          <t xml:space="preserve">R2's free 10 GB and free downloads cover small use.</t>
        </is>
      </c>
    </row>
    <row r="21">
      <c r="A21" s="0" t="inlineStr">
        <is>
          <t xml:space="preserve">Other tools and support, per month (INR)</t>
        </is>
      </c>
      <c r="B21" s="5">
        <v>500</v>
      </c>
      <c r="C21" s="9" t="inlineStr">
        <is>
          <t xml:space="preserve">Email, phone, anything else.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 showGridLines="0"/>
  </sheetViews>
  <sheetFormatPr defaultRowHeight="18"/>
  <cols>
    <col min="1" max="1" width="46" customWidth="1"/>
    <col min="2" max="2" width="17" customWidth="1"/>
    <col min="3" max="3" width="17" customWidth="1"/>
    <col min="4" max="4" width="17" customWidth="1"/>
    <col min="5" max="5" width="17" customWidth="1"/>
    <col min="6" max="6" width="17" customWidth="1"/>
    <col min="7" max="7" width="22" customWidth="1"/>
  </cols>
  <sheetData>
    <row r="1">
      <c r="A1" s="2" t="inlineStr">
        <is>
          <t xml:space="preserve">Cost to you for one event (AWS live video + Cloudflare R2 files)</t>
        </is>
      </c>
    </row>
    <row r="2">
      <c r="A2" s="9" t="inlineStr">
        <is>
          <t xml:space="preserve">Live video is the big cost: AWS charges for every GB sent to viewers. Cloudflare R2 only stores files and does not help with live bandwidth.</t>
        </is>
      </c>
    </row>
    <row r="3">
      <c r="A3" s="1" t="inlineStr">
        <is>
          <t xml:space="preserve">Scenario</t>
        </is>
      </c>
      <c r="B3" s="1" t="inlineStr">
        <is>
          <t xml:space="preserve">Free plan</t>
        </is>
      </c>
      <c r="C3" s="1" t="inlineStr">
        <is>
          <t xml:space="preserve">Small</t>
        </is>
      </c>
      <c r="D3" s="1" t="inlineStr">
        <is>
          <t xml:space="preserve">Standard</t>
        </is>
      </c>
      <c r="E3" s="1" t="inlineStr">
        <is>
          <t xml:space="preserve">Premium</t>
        </is>
      </c>
      <c r="F3" s="1" t="inlineStr">
        <is>
          <t xml:space="preserve">Festival day</t>
        </is>
      </c>
      <c r="G3" s="1" t="inlineStr">
        <is>
          <t xml:space="preserve">10-day festival</t>
        </is>
      </c>
    </row>
    <row r="4">
      <c r="A4" s="0" t="inlineStr">
        <is>
          <t xml:space="preserve">Viewers watching at the same time</t>
        </is>
      </c>
      <c r="B4" s="3">
        <v>20</v>
      </c>
      <c r="C4" s="3">
        <v>50</v>
      </c>
      <c r="D4" s="3">
        <v>100</v>
      </c>
      <c r="E4" s="3">
        <v>300</v>
      </c>
      <c r="F4" s="3">
        <v>500</v>
      </c>
      <c r="G4" s="3">
        <v>200</v>
      </c>
    </row>
    <row r="5">
      <c r="A5" s="0" t="inlineStr">
        <is>
          <t xml:space="preserve">Hours streamed (total)</t>
        </is>
      </c>
      <c r="B5" s="3">
        <v>1</v>
      </c>
      <c r="C5" s="3">
        <v>2</v>
      </c>
      <c r="D5" s="3">
        <v>3</v>
      </c>
      <c r="E5" s="3">
        <v>4</v>
      </c>
      <c r="F5" s="3">
        <v>6</v>
      </c>
      <c r="G5" s="3">
        <v>30</v>
      </c>
    </row>
    <row r="6">
      <c r="A6" s="0" t="inlineStr">
        <is>
          <t xml:space="preserve">Share of time viewers are actually watching</t>
        </is>
      </c>
      <c r="B6" s="4">
        <v>0.7</v>
      </c>
      <c r="C6" s="4">
        <v>0.7</v>
      </c>
      <c r="D6" s="4">
        <v>0.7</v>
      </c>
      <c r="E6" s="4">
        <v>0.7</v>
      </c>
      <c r="F6" s="4">
        <v>0.7</v>
      </c>
      <c r="G6" s="4">
        <v>0.7</v>
      </c>
    </row>
    <row r="7">
      <c r="A7" s="0" t="inlineStr">
        <is>
          <t xml:space="preserve">Quality factor (1 = 720p, 0.5 = 480p, 0.1 = audio only)</t>
        </is>
      </c>
      <c r="B7" s="3">
        <v>1</v>
      </c>
      <c r="C7" s="3">
        <v>1</v>
      </c>
      <c r="D7" s="3">
        <v>1</v>
      </c>
      <c r="E7" s="3">
        <v>1</v>
      </c>
      <c r="F7" s="3">
        <v>0.5</v>
      </c>
      <c r="G7" s="3">
        <v>0.3</v>
      </c>
    </row>
    <row r="8">
      <c r="A8" s="0" t="inlineStr">
        <is>
          <t xml:space="preserve">Files stored: photos, video, card (GB)</t>
        </is>
      </c>
      <c r="B8" s="3">
        <v>1</v>
      </c>
      <c r="C8" s="3">
        <v>2</v>
      </c>
      <c r="D8" s="3">
        <v>5</v>
      </c>
      <c r="E8" s="3">
        <v>10</v>
      </c>
      <c r="F8" s="3">
        <v>10</v>
      </c>
      <c r="G8" s="3">
        <v>5</v>
      </c>
    </row>
    <row r="9">
      <c r="A9" s="0" t="inlineStr">
        <is>
          <t xml:space="preserve">Viewer-hours</t>
        </is>
      </c>
      <c r="B9" s="6">
        <f>B4*B5*B6</f>
      </c>
      <c r="C9" s="6">
        <f>C4*C5*C6</f>
      </c>
      <c r="D9" s="6">
        <f>D4*D5*D6</f>
      </c>
      <c r="E9" s="6">
        <f>E4*E5*E6</f>
      </c>
      <c r="F9" s="6">
        <f>F4*F5*F6</f>
      </c>
      <c r="G9" s="6">
        <f>G4*G5*G6</f>
      </c>
    </row>
    <row r="10">
      <c r="A10" s="0" t="inlineStr">
        <is>
          <t xml:space="preserve">Video sent to viewers (GB)</t>
        </is>
      </c>
      <c r="B10" s="6">
        <f>B9*B7*Assumptions!$B$7</f>
      </c>
      <c r="C10" s="6">
        <f>C9*C7*Assumptions!$B$7</f>
      </c>
      <c r="D10" s="6">
        <f>D9*D7*Assumptions!$B$7</f>
      </c>
      <c r="E10" s="6">
        <f>E9*E7*Assumptions!$B$7</f>
      </c>
      <c r="F10" s="6">
        <f>F9*F7*Assumptions!$B$7</f>
      </c>
      <c r="G10" s="6">
        <f>G9*G7*Assumptions!$B$7</f>
      </c>
    </row>
    <row r="11">
      <c r="A11" s="0" t="inlineStr">
        <is>
          <t xml:space="preserve">AWS bandwidth cost (USD)</t>
        </is>
      </c>
      <c r="B11" s="11">
        <f>B10*Assumptions!$B$8</f>
      </c>
      <c r="C11" s="11">
        <f>C10*Assumptions!$B$8</f>
      </c>
      <c r="D11" s="11">
        <f>D10*Assumptions!$B$8</f>
      </c>
      <c r="E11" s="11">
        <f>E10*Assumptions!$B$8</f>
      </c>
      <c r="F11" s="11">
        <f>F10*Assumptions!$B$8</f>
      </c>
      <c r="G11" s="11">
        <f>G10*Assumptions!$B$8</f>
      </c>
    </row>
    <row r="12">
      <c r="A12" s="0" t="inlineStr">
        <is>
          <t xml:space="preserve">Cloudflare R2 storage cost (USD)</t>
        </is>
      </c>
      <c r="B12" s="11">
        <f>B8*Assumptions!$B$10*Assumptions!$B$11</f>
      </c>
      <c r="C12" s="11">
        <f>C8*Assumptions!$B$10*Assumptions!$B$11</f>
      </c>
      <c r="D12" s="11">
        <f>D8*Assumptions!$B$10*Assumptions!$B$11</f>
      </c>
      <c r="E12" s="11">
        <f>E8*Assumptions!$B$10*Assumptions!$B$11</f>
      </c>
      <c r="F12" s="11">
        <f>F8*Assumptions!$B$10*Assumptions!$B$11</f>
      </c>
      <c r="G12" s="11">
        <f>G8*Assumptions!$B$10*Assumptions!$B$11</f>
      </c>
    </row>
    <row r="13">
      <c r="A13" s="0" t="inlineStr">
        <is>
          <t xml:space="preserve">Subtotal (USD)</t>
        </is>
      </c>
      <c r="B13" s="11">
        <f>B11+B12</f>
      </c>
      <c r="C13" s="11">
        <f>C11+C12</f>
      </c>
      <c r="D13" s="11">
        <f>D11+D12</f>
      </c>
      <c r="E13" s="11">
        <f>E11+E12</f>
      </c>
      <c r="F13" s="11">
        <f>F11+F12</f>
      </c>
      <c r="G13" s="11">
        <f>G11+G12</f>
      </c>
    </row>
    <row r="14">
      <c r="A14" s="0" t="inlineStr">
        <is>
          <t xml:space="preserve">Safety margin (USD)</t>
        </is>
      </c>
      <c r="B14" s="11">
        <f>B13*Assumptions!$B$9</f>
      </c>
      <c r="C14" s="11">
        <f>C13*Assumptions!$B$9</f>
      </c>
      <c r="D14" s="11">
        <f>D13*Assumptions!$B$9</f>
      </c>
      <c r="E14" s="11">
        <f>E13*Assumptions!$B$9</f>
      </c>
      <c r="F14" s="11">
        <f>F13*Assumptions!$B$9</f>
      </c>
      <c r="G14" s="11">
        <f>G13*Assumptions!$B$9</f>
      </c>
    </row>
    <row r="15">
      <c r="A15" s="0" t="inlineStr">
        <is>
          <t xml:space="preserve">Total cost (USD)</t>
        </is>
      </c>
      <c r="B15" s="11">
        <f>B13+B14</f>
      </c>
      <c r="C15" s="11">
        <f>C13+C14</f>
      </c>
      <c r="D15" s="11">
        <f>D13+D14</f>
      </c>
      <c r="E15" s="11">
        <f>E13+E14</f>
      </c>
      <c r="F15" s="11">
        <f>F13+F14</f>
      </c>
      <c r="G15" s="11">
        <f>G13+G14</f>
      </c>
    </row>
    <row r="16">
      <c r="A16" s="10" t="inlineStr">
        <is>
          <t xml:space="preserve">TOTAL COST TO YOU (INR)</t>
        </is>
      </c>
      <c r="B16" s="7">
        <f>B15*Assumptions!$B$4</f>
      </c>
      <c r="C16" s="7">
        <f>C15*Assumptions!$B$4</f>
      </c>
      <c r="D16" s="7">
        <f>D15*Assumptions!$B$4</f>
      </c>
      <c r="E16" s="7">
        <f>E15*Assumptions!$B$4</f>
      </c>
      <c r="F16" s="7">
        <f>F15*Assumptions!$B$4</f>
      </c>
      <c r="G16" s="7">
        <f>G15*Assumptions!$B$4</f>
      </c>
    </row>
    <row r="18">
      <c r="A18" s="9" t="inlineStr">
        <is>
          <t xml:space="preserve">Reading this: the 10-day festival uses audio-first (0.3) to show how a charity event can stay affordable. Set the quality factor to 1 to see the full-video cost.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 showGridLines="0"/>
  </sheetViews>
  <sheetFormatPr defaultRowHeight="18"/>
  <cols>
    <col min="1" max="1" width="22" customWidth="1"/>
    <col min="2" max="2" width="16" customWidth="1"/>
    <col min="3" max="3" width="18" customWidth="1"/>
    <col min="4" max="4" width="14" customWidth="1"/>
    <col min="5" max="5" width="16" customWidth="1"/>
    <col min="6" max="6" width="16" customWidth="1"/>
    <col min="7" max="7" width="18" customWidth="1"/>
    <col min="8" max="8" width="16" customWidth="1"/>
    <col min="9" max="9" width="12" customWidth="1"/>
    <col min="10" max="10" width="22" customWidth="1"/>
    <col min="11" max="11" width="34" customWidth="1"/>
  </cols>
  <sheetData>
    <row r="1">
      <c r="A1" s="2" t="inlineStr">
        <is>
          <t xml:space="preserve">What to charge and what you earn per event</t>
        </is>
      </c>
    </row>
    <row r="2">
      <c r="A2" s="9" t="inlineStr">
        <is>
          <t xml:space="preserve">Type your price in the yellow cells (before GST). Profit here is per event, before fixed monthly costs.</t>
        </is>
      </c>
    </row>
    <row r="3">
      <c r="A3" s="1" t="inlineStr">
        <is>
          <t xml:space="preserve">Plan</t>
        </is>
      </c>
      <c r="B3" s="1" t="inlineStr">
        <is>
          <t xml:space="preserve">Your cost (INR)</t>
        </is>
      </c>
      <c r="C3" s="1" t="inlineStr">
        <is>
          <t xml:space="preserve">Price before GST (INR)</t>
        </is>
      </c>
      <c r="D3" s="1" t="inlineStr">
        <is>
          <t xml:space="preserve">GST (INR)</t>
        </is>
      </c>
      <c r="E3" s="1" t="inlineStr">
        <is>
          <t xml:space="preserve">Customer pays (INR)</t>
        </is>
      </c>
      <c r="F3" s="1" t="inlineStr">
        <is>
          <t xml:space="preserve">Gateway fee (INR)</t>
        </is>
      </c>
      <c r="G3" s="1" t="inlineStr">
        <is>
          <t xml:space="preserve">You keep before cost (INR)</t>
        </is>
      </c>
      <c r="H3" s="1" t="inlineStr">
        <is>
          <t xml:space="preserve">PROFIT per event (INR)</t>
        </is>
      </c>
      <c r="I3" s="1" t="inlineStr">
        <is>
          <t xml:space="preserve">Margin</t>
        </is>
      </c>
      <c r="J3" s="1" t="inlineStr">
        <is>
          <t xml:space="preserve">Min price for target margin</t>
        </is>
      </c>
      <c r="K3" s="1" t="inlineStr">
        <is>
          <t xml:space="preserve">Note</t>
        </is>
      </c>
    </row>
    <row r="4">
      <c r="A4" s="10" t="inlineStr">
        <is>
          <t xml:space="preserve">Free plan</t>
        </is>
      </c>
      <c r="B4" s="7">
        <f>Costs!B16</f>
      </c>
      <c r="C4" s="5">
        <v>0</v>
      </c>
      <c r="D4" s="7">
        <f>C4*Assumptions!$B$5</f>
      </c>
      <c r="E4" s="7">
        <f>C4+D4</f>
      </c>
      <c r="F4" s="7">
        <f>E4*Assumptions!$B$6</f>
      </c>
      <c r="G4" s="7">
        <f>C4-F4</f>
      </c>
      <c r="H4" s="7">
        <f>G4-B4</f>
      </c>
      <c r="I4" s="8">
        <f>IF(C4=0,"n/a",H4/C4)</f>
      </c>
      <c r="J4" s="7">
        <f>ROUNDUP(B4/(1-Assumptions!$B$12-(1+Assumptions!$B$5)*Assumptions!$B$6)/50,0)*50</f>
      </c>
      <c r="K4" s="9" t="inlineStr">
        <is>
          <t xml:space="preserve">Brings users in. Capped at 20 viewers for 1 hour.</t>
        </is>
      </c>
    </row>
    <row r="5">
      <c r="A5" s="10" t="inlineStr">
        <is>
          <t xml:space="preserve">Small</t>
        </is>
      </c>
      <c r="B5" s="7">
        <f>Costs!C16</f>
      </c>
      <c r="C5" s="5">
        <v>999</v>
      </c>
      <c r="D5" s="7">
        <f>C5*Assumptions!$B$5</f>
      </c>
      <c r="E5" s="7">
        <f>C5+D5</f>
      </c>
      <c r="F5" s="7">
        <f>E5*Assumptions!$B$6</f>
      </c>
      <c r="G5" s="7">
        <f>C5-F5</f>
      </c>
      <c r="H5" s="7">
        <f>G5-B5</f>
      </c>
      <c r="I5" s="8">
        <f>IF(C5=0,"n/a",H5/C5)</f>
      </c>
      <c r="J5" s="7">
        <f>ROUNDUP(B5/(1-Assumptions!$B$12-(1+Assumptions!$B$5)*Assumptions!$B$6)/50,0)*50</f>
      </c>
      <c r="K5" s="9" t="inlineStr">
        <is>
          <t xml:space="preserve">Birthday, small pooja.</t>
        </is>
      </c>
    </row>
    <row r="6">
      <c r="A6" s="10" t="inlineStr">
        <is>
          <t xml:space="preserve">Standard</t>
        </is>
      </c>
      <c r="B6" s="7">
        <f>Costs!D16</f>
      </c>
      <c r="C6" s="5">
        <v>2999</v>
      </c>
      <c r="D6" s="7">
        <f>C6*Assumptions!$B$5</f>
      </c>
      <c r="E6" s="7">
        <f>C6+D6</f>
      </c>
      <c r="F6" s="7">
        <f>E6*Assumptions!$B$6</f>
      </c>
      <c r="G6" s="7">
        <f>C6-F6</f>
      </c>
      <c r="H6" s="7">
        <f>G6-B6</f>
      </c>
      <c r="I6" s="8">
        <f>IF(C6=0,"n/a",H6/C6)</f>
      </c>
      <c r="J6" s="7">
        <f>ROUNDUP(B6/(1-Assumptions!$B$12-(1+Assumptions!$B$5)*Assumptions!$B$6)/50,0)*50</f>
      </c>
      <c r="K6" s="9" t="inlineStr">
        <is>
          <t xml:space="preserve">Typical wedding.</t>
        </is>
      </c>
    </row>
    <row r="7">
      <c r="A7" s="10" t="inlineStr">
        <is>
          <t xml:space="preserve">Premium</t>
        </is>
      </c>
      <c r="B7" s="7">
        <f>Costs!E16</f>
      </c>
      <c r="C7" s="5">
        <v>11999</v>
      </c>
      <c r="D7" s="7">
        <f>C7*Assumptions!$B$5</f>
      </c>
      <c r="E7" s="7">
        <f>C7+D7</f>
      </c>
      <c r="F7" s="7">
        <f>E7*Assumptions!$B$6</f>
      </c>
      <c r="G7" s="7">
        <f>C7-F7</f>
      </c>
      <c r="H7" s="7">
        <f>G7-B7</f>
      </c>
      <c r="I7" s="8">
        <f>IF(C7=0,"n/a",H7/C7)</f>
      </c>
      <c r="J7" s="7">
        <f>ROUNDUP(B7/(1-Assumptions!$B$12-(1+Assumptions!$B$5)*Assumptions!$B$6)/50,0)*50</f>
      </c>
      <c r="K7" s="9" t="inlineStr">
        <is>
          <t xml:space="preserve">Large wedding or hall event.</t>
        </is>
      </c>
    </row>
    <row r="8">
      <c r="A8" s="10" t="inlineStr">
        <is>
          <t xml:space="preserve">Festival day</t>
        </is>
      </c>
      <c r="B8" s="7">
        <f>Costs!F16</f>
      </c>
      <c r="C8" s="5">
        <v>14999</v>
      </c>
      <c r="D8" s="7">
        <f>C8*Assumptions!$B$5</f>
      </c>
      <c r="E8" s="7">
        <f>C8+D8</f>
      </c>
      <c r="F8" s="7">
        <f>E8*Assumptions!$B$6</f>
      </c>
      <c r="G8" s="7">
        <f>C8-F8</f>
      </c>
      <c r="H8" s="7">
        <f>G8-B8</f>
      </c>
      <c r="I8" s="8">
        <f>IF(C8=0,"n/a",H8/C8)</f>
      </c>
      <c r="J8" s="7">
        <f>ROUNDUP(B8/(1-Assumptions!$B$12-(1+Assumptions!$B$5)*Assumptions!$B$6)/50,0)*50</f>
      </c>
      <c r="K8" s="9" t="inlineStr">
        <is>
          <t xml:space="preserve">Big public event. Quote each one.</t>
        </is>
      </c>
    </row>
    <row r="9">
      <c r="A9" s="10" t="inlineStr">
        <is>
          <t xml:space="preserve">10-day festival (charity)</t>
        </is>
      </c>
      <c r="B9" s="7">
        <f>Costs!G16</f>
      </c>
      <c r="C9" s="5">
        <v>0</v>
      </c>
      <c r="D9" s="7">
        <f>C9*Assumptions!$B$5</f>
      </c>
      <c r="E9" s="7">
        <f>C9+D9</f>
      </c>
      <c r="F9" s="7">
        <f>E9*Assumptions!$B$6</f>
      </c>
      <c r="G9" s="7">
        <f>C9-F9</f>
      </c>
      <c r="H9" s="7">
        <f>G9-B9</f>
      </c>
      <c r="I9" s="8">
        <f>IF(C9=0,"n/a",H9/C9)</f>
      </c>
      <c r="J9" s="7">
        <f>ROUNDUP(B9/(1-Assumptions!$B$12-(1+Assumptions!$B$5)*Assumptions!$B$6)/50,0)*50</f>
      </c>
      <c r="K9" s="9" t="inlineStr">
        <is>
          <t xml:space="preserve">Price 0 means the loss shown is what sponsors or donations must cover.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 showGridLines="0"/>
  </sheetViews>
  <sheetFormatPr defaultRowHeight="18"/>
  <cols>
    <col min="1" max="1" width="34" customWidth="1"/>
    <col min="2" max="2" width="18" customWidth="1"/>
    <col min="3" max="3" width="20" customWidth="1"/>
    <col min="4" max="4" width="22" customWidth="1"/>
    <col min="5" max="5" width="40" customWidth="1"/>
  </cols>
  <sheetData>
    <row r="1">
      <c r="A1" s="2" t="inlineStr">
        <is>
          <t xml:space="preserve">Monthly view: how many events you need to make a profit</t>
        </is>
      </c>
    </row>
    <row r="2">
      <c r="A2" s="9" t="inlineStr">
        <is>
          <t xml:space="preserve">Enter how many events of each type you expect in a month.</t>
        </is>
      </c>
    </row>
    <row r="3">
      <c r="A3" s="1" t="inlineStr">
        <is>
          <t xml:space="preserve">Plan</t>
        </is>
      </c>
      <c r="B3" s="1" t="inlineStr">
        <is>
          <t xml:space="preserve">Events per month</t>
        </is>
      </c>
      <c r="C3" s="1" t="inlineStr">
        <is>
          <t xml:space="preserve">Profit per event (INR)</t>
        </is>
      </c>
      <c r="D3" s="1" t="inlineStr">
        <is>
          <t xml:space="preserve">Profit from these events (INR)</t>
        </is>
      </c>
      <c r="E3" s="1" t="inlineStr">
        <is>
          <t xml:space="preserve">Revenue before GST (INR)</t>
        </is>
      </c>
    </row>
    <row r="4">
      <c r="A4" s="10" t="inlineStr">
        <is>
          <t xml:space="preserve">Free plan</t>
        </is>
      </c>
      <c r="B4" s="3">
        <v>20</v>
      </c>
      <c r="C4" s="7">
        <f>Pricing!H4</f>
      </c>
      <c r="D4" s="7">
        <f>B4*C4</f>
      </c>
      <c r="E4" s="7">
        <f>B4*Pricing!C4</f>
      </c>
    </row>
    <row r="5">
      <c r="A5" s="10" t="inlineStr">
        <is>
          <t xml:space="preserve">Small</t>
        </is>
      </c>
      <c r="B5" s="3">
        <v>10</v>
      </c>
      <c r="C5" s="7">
        <f>Pricing!H5</f>
      </c>
      <c r="D5" s="7">
        <f>B5*C5</f>
      </c>
      <c r="E5" s="7">
        <f>B5*Pricing!C5</f>
      </c>
    </row>
    <row r="6">
      <c r="A6" s="10" t="inlineStr">
        <is>
          <t xml:space="preserve">Standard</t>
        </is>
      </c>
      <c r="B6" s="3">
        <v>6</v>
      </c>
      <c r="C6" s="7">
        <f>Pricing!H6</f>
      </c>
      <c r="D6" s="7">
        <f>B6*C6</f>
      </c>
      <c r="E6" s="7">
        <f>B6*Pricing!C6</f>
      </c>
    </row>
    <row r="7">
      <c r="A7" s="10" t="inlineStr">
        <is>
          <t xml:space="preserve">Premium</t>
        </is>
      </c>
      <c r="B7" s="3">
        <v>2</v>
      </c>
      <c r="C7" s="7">
        <f>Pricing!H7</f>
      </c>
      <c r="D7" s="7">
        <f>B7*C7</f>
      </c>
      <c r="E7" s="7">
        <f>B7*Pricing!C7</f>
      </c>
    </row>
    <row r="8">
      <c r="A8" s="10" t="inlineStr">
        <is>
          <t xml:space="preserve">Festival day</t>
        </is>
      </c>
      <c r="B8" s="3">
        <v>1</v>
      </c>
      <c r="C8" s="7">
        <f>Pricing!H8</f>
      </c>
      <c r="D8" s="7">
        <f>B8*C8</f>
      </c>
      <c r="E8" s="7">
        <f>B8*Pricing!C8</f>
      </c>
    </row>
    <row r="9">
      <c r="A9" s="10" t="inlineStr">
        <is>
          <t xml:space="preserve">10-day festival (charity)</t>
        </is>
      </c>
      <c r="B9" s="3">
        <v>0</v>
      </c>
      <c r="C9" s="7">
        <f>Pricing!H9</f>
      </c>
      <c r="D9" s="7">
        <f>B9*C9</f>
      </c>
      <c r="E9" s="7">
        <f>B9*Pricing!C9</f>
      </c>
    </row>
    <row r="11">
      <c r="A11" s="10" t="inlineStr">
        <is>
          <t xml:space="preserve">Fixed monthly costs (INR)</t>
        </is>
      </c>
      <c r="B11" s="7">
        <f>(Assumptions!B16+Assumptions!B17+Assumptions!B18+Assumptions!B20)*Assumptions!B4+Assumptions!B19/12+Assumptions!B21</f>
      </c>
    </row>
    <row r="12">
      <c r="A12" s="10" t="inlineStr">
        <is>
          <t xml:space="preserve">Profit from events (INR)</t>
        </is>
      </c>
      <c r="B12" s="7">
        <f>SUM(D4:D9)</f>
      </c>
    </row>
    <row r="13">
      <c r="A13" s="10" t="inlineStr">
        <is>
          <t xml:space="preserve">NET PROFIT PER MONTH (INR)</t>
        </is>
      </c>
      <c r="B13" s="7">
        <f>B12-B11</f>
      </c>
    </row>
    <row r="14">
      <c r="A14" s="10" t="inlineStr">
        <is>
          <t xml:space="preserve">Revenue per month before GST (INR)</t>
        </is>
      </c>
      <c r="B14" s="7">
        <f>SUM(E4:E9)</f>
      </c>
    </row>
    <row r="15">
      <c r="A15" s="10" t="inlineStr">
        <is>
          <t xml:space="preserve">Standard events needed to cover fixed costs</t>
        </is>
      </c>
      <c r="B15" s="6">
        <f>IF(Pricing!H6&gt;0,ROUNDUP(B11/Pricing!H6,0),"price too low")</f>
      </c>
    </row>
    <row r="17">
      <c r="A17" s="9" t="inlineStr">
        <is>
          <t xml:space="preserve">Income tax is not included. Ask an accountant about GST filing and tax.</t>
        </is>
      </c>
    </row>
  </sheetData>
</worksheet>
</file>

<file path=xl/worksheets/sheet5.xml><?xml version="1.0" encoding="utf-8"?>
<worksheet xmlns="http://schemas.openxmlformats.org/spreadsheetml/2006/main">
  <sheetViews>
    <sheetView workbookViewId="0" showGridLines="0"/>
  </sheetViews>
  <sheetFormatPr defaultRowHeight="18"/>
  <cols>
    <col min="1" max="1" width="120" customWidth="1"/>
  </cols>
  <sheetData>
    <row r="1">
      <c r="A1" s="2" t="inlineStr">
        <is>
          <t xml:space="preserve">Notes and limits of this sheet</t>
        </is>
      </c>
    </row>
    <row r="3">
      <c r="A3" s="9" t="inlineStr">
        <is>
          <t xml:space="preserve">1. Prices are estimates. AWS, Vercel, Neon and Razorpay rates change. Check each pricing page before you set real prices.</t>
        </is>
      </c>
    </row>
    <row r="4">
      <c r="A4" s="9" t="inlineStr">
        <is>
          <t xml:space="preserve">2. Live video bandwidth is the main cost. 100 people watching for 3 hours uses roughly 95 GB. At AWS rates that is about the cost shown on the Costs sheet.</t>
        </is>
      </c>
    </row>
    <row r="5">
      <c r="A5" s="9" t="inlineStr">
        <is>
          <t xml:space="preserve">3. AWS gives 100 GB of free data a month in total. This sheet ignores that to stay on the safe side, so real costs for small months are a little lower.</t>
        </is>
      </c>
    </row>
    <row r="6">
      <c r="A6" s="9" t="inlineStr">
        <is>
          <t xml:space="preserve">4. Cloudflare R2 is cheap for stored files and charges nothing for downloads, but it does not carry live video. Live video goes from your AWS server to viewers.</t>
        </is>
      </c>
    </row>
    <row r="7">
      <c r="A7" s="9" t="inlineStr">
        <is>
          <t xml:space="preserve">5. Ways to lower the live cost: lower video quality, audio-first mode for devotional events, a viewer cap per event, and tap-to-watch.</t>
        </is>
      </c>
    </row>
    <row r="8">
      <c r="A8" s="9" t="inlineStr">
        <is>
          <t xml:space="preserve">6. Using LiveKit Cloud instead of your own AWS server avoids server upkeep. Its Ship plan is $50 a month with data included up to 250 GB.</t>
        </is>
      </c>
    </row>
    <row r="9">
      <c r="A9" s="9" t="inlineStr">
        <is>
          <t xml:space="preserve">7. GST: charge 18% on top of your price and pass it on to the government. It is not profit. This sheet shows the customer's total including GST.</t>
        </is>
      </c>
    </row>
    <row r="10">
      <c r="A10" s="9" t="inlineStr">
        <is>
          <t xml:space="preserve">8. Fixed costs include a running AWS server. Switching the server off between events lowers this a lot.</t>
        </is>
      </c>
    </row>
    <row r="11">
      <c r="A11" s="9" t="inlineStr">
        <is>
          <t xml:space="preserve">9. Charity events: set the price to 0 and the sheet shows the loss that sponsors, donations or your own budget must cover.</t>
        </is>
      </c>
    </row>
    <row r="12">
      <c r="A12" s="9" t="inlineStr">
        <is>
          <t xml:space="preserve">10. This is a planning tool, not tax or legal advice.</t>
        </is>
      </c>
    </row>
  </sheetData>
</worksheet>
</file>